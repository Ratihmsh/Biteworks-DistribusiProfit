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tih MS\Downloads\"/>
    </mc:Choice>
  </mc:AlternateContent>
  <xr:revisionPtr revIDLastSave="0" documentId="13_ncr:1_{2028D051-F879-4A65-AB5D-65CCC92B7AF4}" xr6:coauthVersionLast="47" xr6:coauthVersionMax="47" xr10:uidLastSave="{00000000-0000-0000-0000-000000000000}"/>
  <bookViews>
    <workbookView xWindow="-108" yWindow="-108" windowWidth="23256" windowHeight="13896" xr2:uid="{FCD0DE84-3748-4E51-8A90-A22A4BE76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0" i="1" l="1"/>
  <c r="R49" i="1"/>
  <c r="Q48" i="1"/>
  <c r="R48" i="1" s="1"/>
  <c r="R47" i="1"/>
  <c r="Q46" i="1"/>
  <c r="R46" i="1" s="1"/>
  <c r="R45" i="1"/>
  <c r="R44" i="1"/>
  <c r="R43" i="1"/>
  <c r="R42" i="1"/>
  <c r="R41" i="1"/>
  <c r="Q40" i="1"/>
  <c r="R40" i="1" s="1"/>
  <c r="Q39" i="1"/>
  <c r="R39" i="1" s="1"/>
  <c r="R38" i="1"/>
  <c r="Q38" i="1"/>
  <c r="R37" i="1"/>
  <c r="R36" i="1"/>
  <c r="Q35" i="1"/>
  <c r="R35" i="1" s="1"/>
  <c r="R34" i="1"/>
  <c r="Q33" i="1"/>
  <c r="R33" i="1" s="1"/>
  <c r="R32" i="1"/>
  <c r="R31" i="1"/>
  <c r="R30" i="1"/>
  <c r="R29" i="1"/>
  <c r="R28" i="1"/>
  <c r="R27" i="1"/>
  <c r="R26" i="1"/>
  <c r="Q26" i="1"/>
  <c r="Q25" i="1"/>
  <c r="R25" i="1" s="1"/>
  <c r="R24" i="1"/>
  <c r="Q23" i="1"/>
  <c r="R23" i="1" s="1"/>
  <c r="Q22" i="1"/>
  <c r="R22" i="1" s="1"/>
  <c r="R21" i="1"/>
  <c r="Q21" i="1"/>
  <c r="Q20" i="1"/>
  <c r="R20" i="1" s="1"/>
  <c r="R19" i="1"/>
  <c r="Q19" i="1"/>
  <c r="R18" i="1"/>
  <c r="R17" i="1"/>
  <c r="Q17" i="1"/>
  <c r="R16" i="1"/>
  <c r="R15" i="1"/>
  <c r="R14" i="1"/>
  <c r="R13" i="1"/>
  <c r="R12" i="1"/>
  <c r="Q11" i="1"/>
  <c r="R11" i="1" s="1"/>
  <c r="R10" i="1"/>
  <c r="Q9" i="1"/>
  <c r="R9" i="1" s="1"/>
  <c r="Q8" i="1"/>
  <c r="R8" i="1" s="1"/>
  <c r="R7" i="1"/>
  <c r="R6" i="1"/>
  <c r="R5" i="1"/>
  <c r="R4" i="1"/>
  <c r="R3" i="1"/>
  <c r="Q2" i="1"/>
  <c r="R2" i="1" s="1"/>
</calcChain>
</file>

<file path=xl/sharedStrings.xml><?xml version="1.0" encoding="utf-8"?>
<sst xmlns="http://schemas.openxmlformats.org/spreadsheetml/2006/main" count="67" uniqueCount="30">
  <si>
    <t>Emp Num.</t>
  </si>
  <si>
    <t>No. ID.</t>
  </si>
  <si>
    <t>NIK</t>
  </si>
  <si>
    <t>Nama</t>
  </si>
  <si>
    <t>Tanggal</t>
  </si>
  <si>
    <t>Shift</t>
  </si>
  <si>
    <t>Scan Masuk 1</t>
  </si>
  <si>
    <t>Scan Pulang 1</t>
  </si>
  <si>
    <t>Scan Masuk 2</t>
  </si>
  <si>
    <t>Scan Pulang 2</t>
  </si>
  <si>
    <t>Scan Masuk 3</t>
  </si>
  <si>
    <t>Scan Pulang 3</t>
  </si>
  <si>
    <t>Scan Masuk 4</t>
  </si>
  <si>
    <t>Scan Pulang 4</t>
  </si>
  <si>
    <t>Scan Masuk 5</t>
  </si>
  <si>
    <t>Scan Pulang 5</t>
  </si>
  <si>
    <t>Total Jam Kerja</t>
  </si>
  <si>
    <t>POINTS</t>
  </si>
  <si>
    <t>Adhek</t>
  </si>
  <si>
    <t>Tri Murni</t>
  </si>
  <si>
    <t>Human</t>
  </si>
  <si>
    <t>Sulthan</t>
  </si>
  <si>
    <t>Ratih</t>
  </si>
  <si>
    <t>Nadila</t>
  </si>
  <si>
    <t>Nauval</t>
  </si>
  <si>
    <t>Radit</t>
  </si>
  <si>
    <t>Fahri</t>
  </si>
  <si>
    <t>Bagas</t>
  </si>
  <si>
    <t>Inu Kencana</t>
  </si>
  <si>
    <t>Mey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</si>
</sst>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21" fontId="1" fillId="0" borderId="0" xfId="0" applyNumberFormat="1" applyFont="1"/>
    <xf numFmtId="49" fontId="2" fillId="0" borderId="0" xfId="0" applyNumberFormat="1" applyFont="1" applyAlignment="1">
      <alignment vertical="center"/>
    </xf>
    <xf numFmtId="21" fontId="2" fillId="0" borderId="0" xfId="0" applyNumberFormat="1" applyFont="1" applyAlignment="1">
      <alignment vertical="center"/>
    </xf>
    <xf numFmtId="21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5">
    <dxf>
      <numFmt numFmtId="165" formatCode="[$-F400]h:mm:ss\ AM/PM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heet2-style" pivot="0" count="4" xr9:uid="{1EF92770-E0D6-4D86-81B2-C762DBD4DC24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37999-609D-4DCF-A64F-8C2A0680DF45}" name="Table1" displayName="Table1" ref="A1:R50">
  <tableColumns count="18">
    <tableColumn id="1" xr3:uid="{527B85DA-52F8-417E-85AE-62CBAA0E3E22}" name="Emp Num."/>
    <tableColumn id="2" xr3:uid="{80360EFF-B26F-4C6D-841F-CD1E59D07835}" name="No. ID."/>
    <tableColumn id="3" xr3:uid="{10B3CB7E-C5B4-412B-84D2-59D83CE21B00}" name="NIK"/>
    <tableColumn id="4" xr3:uid="{B5BF04DB-D733-4CD4-8EA2-2442B7F7D34A}" name="Nama"/>
    <tableColumn id="5" xr3:uid="{7DADB854-774D-4073-8F44-7A9A6ED84F69}" name="Tanggal"/>
    <tableColumn id="6" xr3:uid="{ABF07770-335F-450D-BECF-FD25876AD7EB}" name="Shift"/>
    <tableColumn id="7" xr3:uid="{C547957E-1746-47FD-B0D6-41FB1B34551E}" name="Scan Masuk 1"/>
    <tableColumn id="8" xr3:uid="{BAE43D94-A5C4-4697-869C-4A49257956BE}" name="Scan Pulang 1"/>
    <tableColumn id="9" xr3:uid="{7FA4F41E-35E1-4814-8C28-CBE44C90CE68}" name="Scan Masuk 2"/>
    <tableColumn id="10" xr3:uid="{7A5E2C37-72EE-4EAD-A8B5-80F31FE17AA4}" name="Scan Pulang 2"/>
    <tableColumn id="11" xr3:uid="{FEC408C6-EB3B-4DCE-9104-DA86174C2768}" name="Scan Masuk 3"/>
    <tableColumn id="12" xr3:uid="{61D620EB-4925-481A-8213-ECE3790AD968}" name="Scan Pulang 3"/>
    <tableColumn id="13" xr3:uid="{96C2F2B4-C016-45C0-B087-6A63025F105C}" name="Scan Masuk 4"/>
    <tableColumn id="14" xr3:uid="{C26EB578-7B72-41C8-989C-66C48DE90BAD}" name="Scan Pulang 4"/>
    <tableColumn id="15" xr3:uid="{57918AE3-6A25-4EC7-B997-5D21B4E1B9D8}" name="Scan Masuk 5"/>
    <tableColumn id="16" xr3:uid="{7E4DC07F-EE61-4B5F-8524-299557B8EF4F}" name="Scan Pulang 5"/>
    <tableColumn id="17" xr3:uid="{17B42B21-77C8-4399-B5C7-276A5DA6DD35}" name="Total Jam Kerja" dataDxfId="0"/>
    <tableColumn id="18" xr3:uid="{3EF5F424-3113-4165-B11A-AD08693BF5EE}" name="POINTS">
      <calculatedColumnFormula>MROUND((Q2*24*60/15)*0.25, 0.25)</calculatedColumnFormula>
    </tableColumn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6626-D530-4716-B34C-DF344F031302}">
  <dimension ref="A1:R50"/>
  <sheetViews>
    <sheetView tabSelected="1" topLeftCell="B1" workbookViewId="0">
      <selection activeCell="Q6" sqref="Q6"/>
    </sheetView>
  </sheetViews>
  <sheetFormatPr defaultRowHeight="14.4" x14ac:dyDescent="0.3"/>
  <cols>
    <col min="5" max="5" width="12.5546875" style="1" customWidth="1"/>
    <col min="17" max="17" width="18.77734375" style="13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1" t="s">
        <v>16</v>
      </c>
      <c r="R1" s="4" t="s">
        <v>17</v>
      </c>
    </row>
    <row r="2" spans="1:18" x14ac:dyDescent="0.3">
      <c r="A2" s="5">
        <v>2</v>
      </c>
      <c r="B2" s="5">
        <v>2</v>
      </c>
      <c r="C2" s="5"/>
      <c r="D2" s="5" t="s">
        <v>18</v>
      </c>
      <c r="E2" s="6">
        <v>45904</v>
      </c>
      <c r="F2" s="5">
        <v>3</v>
      </c>
      <c r="G2" s="7">
        <v>0.58333333333333337</v>
      </c>
      <c r="H2" s="7">
        <v>0.66666666666666663</v>
      </c>
      <c r="I2" s="5"/>
      <c r="J2" s="5"/>
      <c r="K2" s="5"/>
      <c r="L2" s="5"/>
      <c r="M2" s="5"/>
      <c r="N2" s="5"/>
      <c r="O2" s="5"/>
      <c r="P2" s="5"/>
      <c r="Q2" s="12">
        <f>H2-G2</f>
        <v>8.3333333333333259E-2</v>
      </c>
      <c r="R2" s="8">
        <f t="shared" ref="R2:R50" si="0">MROUND((Q2*24*60/15)*0.25, 0.25)</f>
        <v>2</v>
      </c>
    </row>
    <row r="3" spans="1:18" x14ac:dyDescent="0.3">
      <c r="A3" s="5">
        <v>2</v>
      </c>
      <c r="B3" s="5">
        <v>2</v>
      </c>
      <c r="C3" s="5"/>
      <c r="D3" s="5" t="s">
        <v>18</v>
      </c>
      <c r="E3" s="6">
        <v>45908</v>
      </c>
      <c r="F3" s="5">
        <v>3</v>
      </c>
      <c r="G3" s="7">
        <v>0.58611111111111114</v>
      </c>
      <c r="H3" s="7">
        <v>0.70277777777777772</v>
      </c>
      <c r="I3" s="5"/>
      <c r="J3" s="5"/>
      <c r="K3" s="5"/>
      <c r="L3" s="5"/>
      <c r="M3" s="5"/>
      <c r="N3" s="5"/>
      <c r="O3" s="5"/>
      <c r="P3" s="5"/>
      <c r="Q3" s="12">
        <v>0.11666666666666667</v>
      </c>
      <c r="R3" s="8">
        <f t="shared" si="0"/>
        <v>2.75</v>
      </c>
    </row>
    <row r="4" spans="1:18" x14ac:dyDescent="0.3">
      <c r="A4" s="5">
        <v>2</v>
      </c>
      <c r="B4" s="5">
        <v>2</v>
      </c>
      <c r="C4" s="5"/>
      <c r="D4" s="5" t="s">
        <v>18</v>
      </c>
      <c r="E4" s="6">
        <v>45912</v>
      </c>
      <c r="F4" s="5">
        <v>1</v>
      </c>
      <c r="G4" s="7">
        <v>0.41041666666666665</v>
      </c>
      <c r="H4" s="7">
        <v>0.65694444444444444</v>
      </c>
      <c r="I4" s="5"/>
      <c r="J4" s="5"/>
      <c r="K4" s="5"/>
      <c r="L4" s="5"/>
      <c r="M4" s="5"/>
      <c r="N4" s="5"/>
      <c r="O4" s="5"/>
      <c r="P4" s="5"/>
      <c r="Q4" s="12">
        <v>0.24652777777777779</v>
      </c>
      <c r="R4" s="8">
        <f t="shared" si="0"/>
        <v>6</v>
      </c>
    </row>
    <row r="5" spans="1:18" x14ac:dyDescent="0.3">
      <c r="A5" s="5">
        <v>2</v>
      </c>
      <c r="B5" s="5">
        <v>2</v>
      </c>
      <c r="C5" s="5"/>
      <c r="D5" s="5" t="s">
        <v>18</v>
      </c>
      <c r="E5" s="6">
        <v>45915</v>
      </c>
      <c r="F5" s="5">
        <v>3</v>
      </c>
      <c r="G5" s="7">
        <v>0.59027777777777779</v>
      </c>
      <c r="H5" s="7">
        <v>0.68888888888888888</v>
      </c>
      <c r="I5" s="5"/>
      <c r="J5" s="5"/>
      <c r="K5" s="5"/>
      <c r="L5" s="5"/>
      <c r="M5" s="5"/>
      <c r="N5" s="5"/>
      <c r="O5" s="5"/>
      <c r="P5" s="5"/>
      <c r="Q5" s="12">
        <v>9.8611111111111108E-2</v>
      </c>
      <c r="R5" s="8">
        <f t="shared" si="0"/>
        <v>2.25</v>
      </c>
    </row>
    <row r="6" spans="1:18" x14ac:dyDescent="0.3">
      <c r="A6" s="5">
        <v>2</v>
      </c>
      <c r="B6" s="5">
        <v>2</v>
      </c>
      <c r="C6" s="5"/>
      <c r="D6" s="5" t="s">
        <v>18</v>
      </c>
      <c r="E6" s="6">
        <v>45922</v>
      </c>
      <c r="F6" s="5">
        <v>3</v>
      </c>
      <c r="G6" s="7">
        <v>0.59513888888888888</v>
      </c>
      <c r="H6" s="7">
        <v>0.71111111111111114</v>
      </c>
      <c r="I6" s="5"/>
      <c r="J6" s="5"/>
      <c r="K6" s="5"/>
      <c r="L6" s="5"/>
      <c r="M6" s="5"/>
      <c r="N6" s="5"/>
      <c r="O6" s="5"/>
      <c r="P6" s="5"/>
      <c r="Q6" s="12">
        <v>0.11597222222222223</v>
      </c>
      <c r="R6" s="8">
        <f t="shared" si="0"/>
        <v>2.75</v>
      </c>
    </row>
    <row r="7" spans="1:18" x14ac:dyDescent="0.3">
      <c r="A7" s="5">
        <v>2</v>
      </c>
      <c r="B7" s="5">
        <v>2</v>
      </c>
      <c r="C7" s="5"/>
      <c r="D7" s="5" t="s">
        <v>18</v>
      </c>
      <c r="E7" s="6">
        <v>45926</v>
      </c>
      <c r="F7" s="5">
        <v>1</v>
      </c>
      <c r="G7" s="7">
        <v>0.37847222222222221</v>
      </c>
      <c r="H7" s="7">
        <v>0.52500000000000002</v>
      </c>
      <c r="I7" s="5"/>
      <c r="J7" s="5"/>
      <c r="K7" s="5"/>
      <c r="L7" s="5"/>
      <c r="M7" s="5"/>
      <c r="N7" s="5"/>
      <c r="O7" s="5"/>
      <c r="P7" s="5"/>
      <c r="Q7" s="12">
        <v>0.14652777777777778</v>
      </c>
      <c r="R7" s="8">
        <f t="shared" si="0"/>
        <v>3.5</v>
      </c>
    </row>
    <row r="8" spans="1:18" x14ac:dyDescent="0.3">
      <c r="A8" s="5">
        <v>7</v>
      </c>
      <c r="B8" s="5">
        <v>7</v>
      </c>
      <c r="C8" s="5"/>
      <c r="D8" s="5" t="s">
        <v>19</v>
      </c>
      <c r="E8" s="6">
        <v>45909</v>
      </c>
      <c r="F8" s="5">
        <v>3</v>
      </c>
      <c r="G8" s="7">
        <v>0.62777777777777777</v>
      </c>
      <c r="H8" s="7">
        <v>0.74444444444444446</v>
      </c>
      <c r="I8" s="5"/>
      <c r="J8" s="5"/>
      <c r="K8" s="5"/>
      <c r="L8" s="5"/>
      <c r="M8" s="5"/>
      <c r="N8" s="5"/>
      <c r="O8" s="5"/>
      <c r="P8" s="5"/>
      <c r="Q8" s="12">
        <f t="shared" ref="Q8:Q9" si="1">H8-G8</f>
        <v>0.1166666666666667</v>
      </c>
      <c r="R8" s="8">
        <f t="shared" si="0"/>
        <v>2.75</v>
      </c>
    </row>
    <row r="9" spans="1:18" x14ac:dyDescent="0.3">
      <c r="A9" s="5">
        <v>6</v>
      </c>
      <c r="B9" s="5">
        <v>6</v>
      </c>
      <c r="C9" s="5"/>
      <c r="D9" s="5" t="s">
        <v>20</v>
      </c>
      <c r="E9" s="6">
        <v>45908</v>
      </c>
      <c r="F9" s="5">
        <v>1</v>
      </c>
      <c r="G9" s="7">
        <v>0.29166666666666669</v>
      </c>
      <c r="H9" s="7">
        <v>0.42291666666666666</v>
      </c>
      <c r="I9" s="5"/>
      <c r="J9" s="5"/>
      <c r="K9" s="5"/>
      <c r="L9" s="5"/>
      <c r="M9" s="5"/>
      <c r="N9" s="5"/>
      <c r="O9" s="5"/>
      <c r="P9" s="5"/>
      <c r="Q9" s="12">
        <f t="shared" si="1"/>
        <v>0.13124999999999998</v>
      </c>
      <c r="R9" s="8">
        <f t="shared" si="0"/>
        <v>3.25</v>
      </c>
    </row>
    <row r="10" spans="1:18" x14ac:dyDescent="0.3">
      <c r="A10" s="5">
        <v>2</v>
      </c>
      <c r="B10" s="5">
        <v>2</v>
      </c>
      <c r="C10" s="5"/>
      <c r="D10" s="5" t="s">
        <v>18</v>
      </c>
      <c r="E10" s="6">
        <v>45929</v>
      </c>
      <c r="F10" s="5">
        <v>3</v>
      </c>
      <c r="G10" s="7">
        <v>0.55694444444444446</v>
      </c>
      <c r="H10" s="7">
        <v>0.68194444444444446</v>
      </c>
      <c r="I10" s="5"/>
      <c r="J10" s="5"/>
      <c r="K10" s="5"/>
      <c r="L10" s="5"/>
      <c r="M10" s="5"/>
      <c r="N10" s="5"/>
      <c r="O10" s="5"/>
      <c r="P10" s="5"/>
      <c r="Q10" s="12">
        <v>0.125</v>
      </c>
      <c r="R10" s="8">
        <f t="shared" si="0"/>
        <v>3</v>
      </c>
    </row>
    <row r="11" spans="1:18" x14ac:dyDescent="0.3">
      <c r="A11" s="5">
        <v>3</v>
      </c>
      <c r="B11" s="5">
        <v>3</v>
      </c>
      <c r="C11" s="5"/>
      <c r="D11" s="5" t="s">
        <v>21</v>
      </c>
      <c r="E11" s="6">
        <v>45902</v>
      </c>
      <c r="F11" s="5">
        <v>2</v>
      </c>
      <c r="G11" s="7">
        <v>0.45833333333333331</v>
      </c>
      <c r="H11" s="7">
        <v>0.625</v>
      </c>
      <c r="I11" s="5"/>
      <c r="J11" s="5"/>
      <c r="K11" s="5"/>
      <c r="L11" s="5"/>
      <c r="M11" s="5"/>
      <c r="N11" s="5"/>
      <c r="O11" s="5"/>
      <c r="P11" s="5"/>
      <c r="Q11" s="12">
        <f>H11-G11</f>
        <v>0.16666666666666669</v>
      </c>
      <c r="R11" s="8">
        <f t="shared" si="0"/>
        <v>4</v>
      </c>
    </row>
    <row r="12" spans="1:18" x14ac:dyDescent="0.3">
      <c r="A12" s="5">
        <v>3</v>
      </c>
      <c r="B12" s="5">
        <v>3</v>
      </c>
      <c r="C12" s="5"/>
      <c r="D12" s="5" t="s">
        <v>21</v>
      </c>
      <c r="E12" s="6">
        <v>45909</v>
      </c>
      <c r="F12" s="5">
        <v>2</v>
      </c>
      <c r="G12" s="7">
        <v>0.45624999999999999</v>
      </c>
      <c r="H12" s="7">
        <v>0.69444444444444442</v>
      </c>
      <c r="I12" s="5"/>
      <c r="J12" s="5"/>
      <c r="K12" s="5"/>
      <c r="L12" s="5"/>
      <c r="M12" s="5"/>
      <c r="N12" s="5"/>
      <c r="O12" s="5"/>
      <c r="P12" s="5"/>
      <c r="Q12" s="12">
        <v>0.23819444444444443</v>
      </c>
      <c r="R12" s="8">
        <f t="shared" si="0"/>
        <v>5.75</v>
      </c>
    </row>
    <row r="13" spans="1:18" x14ac:dyDescent="0.3">
      <c r="A13" s="5">
        <v>3</v>
      </c>
      <c r="B13" s="5">
        <v>3</v>
      </c>
      <c r="C13" s="5"/>
      <c r="D13" s="5" t="s">
        <v>21</v>
      </c>
      <c r="E13" s="6">
        <v>45916</v>
      </c>
      <c r="F13" s="5">
        <v>2</v>
      </c>
      <c r="G13" s="7">
        <v>0.45208333333333334</v>
      </c>
      <c r="H13" s="7">
        <v>0.7055555555555556</v>
      </c>
      <c r="I13" s="5"/>
      <c r="J13" s="5"/>
      <c r="K13" s="5"/>
      <c r="L13" s="5"/>
      <c r="M13" s="5"/>
      <c r="N13" s="5"/>
      <c r="O13" s="5"/>
      <c r="P13" s="5"/>
      <c r="Q13" s="12">
        <v>0.25347222222222221</v>
      </c>
      <c r="R13" s="8">
        <f t="shared" si="0"/>
        <v>6</v>
      </c>
    </row>
    <row r="14" spans="1:18" x14ac:dyDescent="0.3">
      <c r="A14" s="5">
        <v>3</v>
      </c>
      <c r="B14" s="5">
        <v>3</v>
      </c>
      <c r="C14" s="5"/>
      <c r="D14" s="5" t="s">
        <v>21</v>
      </c>
      <c r="E14" s="6">
        <v>45919</v>
      </c>
      <c r="F14" s="5">
        <v>1</v>
      </c>
      <c r="G14" s="7">
        <v>0.39652777777777776</v>
      </c>
      <c r="H14" s="7">
        <v>0.48055555555555557</v>
      </c>
      <c r="I14" s="5"/>
      <c r="J14" s="5"/>
      <c r="K14" s="5"/>
      <c r="L14" s="5"/>
      <c r="M14" s="5"/>
      <c r="N14" s="5"/>
      <c r="O14" s="5"/>
      <c r="P14" s="5"/>
      <c r="Q14" s="12">
        <v>8.4027777777777785E-2</v>
      </c>
      <c r="R14" s="8">
        <f t="shared" si="0"/>
        <v>2</v>
      </c>
    </row>
    <row r="15" spans="1:18" x14ac:dyDescent="0.3">
      <c r="A15" s="5">
        <v>3</v>
      </c>
      <c r="B15" s="5">
        <v>3</v>
      </c>
      <c r="C15" s="5"/>
      <c r="D15" s="5" t="s">
        <v>21</v>
      </c>
      <c r="E15" s="6">
        <v>45922</v>
      </c>
      <c r="F15" s="5">
        <v>3</v>
      </c>
      <c r="G15" s="7">
        <v>0.58194444444444449</v>
      </c>
      <c r="H15" s="7">
        <v>0.59305555555555556</v>
      </c>
      <c r="I15" s="5"/>
      <c r="J15" s="5"/>
      <c r="K15" s="5"/>
      <c r="L15" s="5"/>
      <c r="M15" s="5"/>
      <c r="N15" s="5"/>
      <c r="O15" s="5"/>
      <c r="P15" s="5"/>
      <c r="Q15" s="12">
        <v>1.1111111111111112E-2</v>
      </c>
      <c r="R15" s="8">
        <f t="shared" si="0"/>
        <v>0.25</v>
      </c>
    </row>
    <row r="16" spans="1:18" x14ac:dyDescent="0.3">
      <c r="A16" s="5">
        <v>3</v>
      </c>
      <c r="B16" s="5">
        <v>3</v>
      </c>
      <c r="C16" s="5"/>
      <c r="D16" s="5" t="s">
        <v>21</v>
      </c>
      <c r="E16" s="6">
        <v>45923</v>
      </c>
      <c r="F16" s="5">
        <v>2</v>
      </c>
      <c r="G16" s="7">
        <v>0.42569444444444443</v>
      </c>
      <c r="H16" s="7">
        <v>0.69791666666666663</v>
      </c>
      <c r="I16" s="5"/>
      <c r="J16" s="5"/>
      <c r="K16" s="5"/>
      <c r="L16" s="5"/>
      <c r="M16" s="5"/>
      <c r="N16" s="5"/>
      <c r="O16" s="5"/>
      <c r="P16" s="5"/>
      <c r="Q16" s="12">
        <v>0.2722222222222222</v>
      </c>
      <c r="R16" s="8">
        <f t="shared" si="0"/>
        <v>6.5</v>
      </c>
    </row>
    <row r="17" spans="1:18" x14ac:dyDescent="0.3">
      <c r="A17" s="5">
        <v>3</v>
      </c>
      <c r="B17" s="5">
        <v>3</v>
      </c>
      <c r="C17" s="5"/>
      <c r="D17" s="5" t="s">
        <v>21</v>
      </c>
      <c r="E17" s="6">
        <v>45925</v>
      </c>
      <c r="F17" s="5">
        <v>3</v>
      </c>
      <c r="G17" s="7">
        <v>0.63472222222222219</v>
      </c>
      <c r="H17" s="7">
        <v>0.70833333333333337</v>
      </c>
      <c r="I17" s="5"/>
      <c r="J17" s="5"/>
      <c r="K17" s="5"/>
      <c r="L17" s="5"/>
      <c r="M17" s="5"/>
      <c r="N17" s="5"/>
      <c r="O17" s="5"/>
      <c r="P17" s="5"/>
      <c r="Q17" s="12">
        <f>H17-G17</f>
        <v>7.3611111111111183E-2</v>
      </c>
      <c r="R17" s="8">
        <f t="shared" si="0"/>
        <v>1.75</v>
      </c>
    </row>
    <row r="18" spans="1:18" x14ac:dyDescent="0.3">
      <c r="A18" s="5">
        <v>3</v>
      </c>
      <c r="B18" s="5">
        <v>3</v>
      </c>
      <c r="C18" s="5"/>
      <c r="D18" s="5" t="s">
        <v>21</v>
      </c>
      <c r="E18" s="6">
        <v>45930</v>
      </c>
      <c r="F18" s="5">
        <v>2</v>
      </c>
      <c r="G18" s="7">
        <v>0.45555555555555555</v>
      </c>
      <c r="H18" s="7">
        <v>0.69652777777777775</v>
      </c>
      <c r="I18" s="5"/>
      <c r="J18" s="5"/>
      <c r="K18" s="5"/>
      <c r="L18" s="5"/>
      <c r="M18" s="5"/>
      <c r="N18" s="5"/>
      <c r="O18" s="5"/>
      <c r="P18" s="5"/>
      <c r="Q18" s="12">
        <v>0.24097222222222223</v>
      </c>
      <c r="R18" s="8">
        <f t="shared" si="0"/>
        <v>5.75</v>
      </c>
    </row>
    <row r="19" spans="1:18" x14ac:dyDescent="0.3">
      <c r="A19" s="5">
        <v>4</v>
      </c>
      <c r="B19" s="5">
        <v>4</v>
      </c>
      <c r="C19" s="5"/>
      <c r="D19" s="5" t="s">
        <v>22</v>
      </c>
      <c r="E19" s="6">
        <v>45903</v>
      </c>
      <c r="F19" s="5">
        <v>3</v>
      </c>
      <c r="G19" s="9">
        <v>0.54583333333333328</v>
      </c>
      <c r="H19" s="7">
        <v>0.66736111111111107</v>
      </c>
      <c r="I19" s="5"/>
      <c r="J19" s="5"/>
      <c r="K19" s="5"/>
      <c r="L19" s="5"/>
      <c r="M19" s="5"/>
      <c r="N19" s="5"/>
      <c r="O19" s="5"/>
      <c r="P19" s="5"/>
      <c r="Q19" s="12">
        <f t="shared" ref="Q19:Q23" si="2">H19-G19</f>
        <v>0.12152777777777779</v>
      </c>
      <c r="R19" s="8">
        <f t="shared" si="0"/>
        <v>3</v>
      </c>
    </row>
    <row r="20" spans="1:18" x14ac:dyDescent="0.3">
      <c r="A20" s="5">
        <v>4</v>
      </c>
      <c r="B20" s="5">
        <v>4</v>
      </c>
      <c r="C20" s="5"/>
      <c r="D20" s="5" t="s">
        <v>22</v>
      </c>
      <c r="E20" s="6">
        <v>45910</v>
      </c>
      <c r="F20" s="5">
        <v>3</v>
      </c>
      <c r="G20" s="7">
        <v>0.58750000000000002</v>
      </c>
      <c r="H20" s="9">
        <v>0.70833333333333337</v>
      </c>
      <c r="I20" s="5"/>
      <c r="J20" s="5"/>
      <c r="K20" s="5"/>
      <c r="L20" s="5"/>
      <c r="M20" s="5"/>
      <c r="N20" s="5"/>
      <c r="O20" s="5"/>
      <c r="P20" s="5"/>
      <c r="Q20" s="12">
        <f t="shared" si="2"/>
        <v>0.12083333333333335</v>
      </c>
      <c r="R20" s="8">
        <f t="shared" si="0"/>
        <v>3</v>
      </c>
    </row>
    <row r="21" spans="1:18" x14ac:dyDescent="0.3">
      <c r="A21" s="5">
        <v>4</v>
      </c>
      <c r="B21" s="5">
        <v>4</v>
      </c>
      <c r="C21" s="5"/>
      <c r="D21" s="5" t="s">
        <v>22</v>
      </c>
      <c r="E21" s="6">
        <v>45912</v>
      </c>
      <c r="F21" s="5">
        <v>1</v>
      </c>
      <c r="G21" s="9">
        <v>0.33750000000000002</v>
      </c>
      <c r="H21" s="7">
        <v>0.65138888888888891</v>
      </c>
      <c r="I21" s="5"/>
      <c r="J21" s="5"/>
      <c r="K21" s="5"/>
      <c r="L21" s="5"/>
      <c r="M21" s="5"/>
      <c r="N21" s="5"/>
      <c r="O21" s="5"/>
      <c r="P21" s="5"/>
      <c r="Q21" s="12">
        <f t="shared" si="2"/>
        <v>0.31388888888888888</v>
      </c>
      <c r="R21" s="8">
        <f t="shared" si="0"/>
        <v>7.5</v>
      </c>
    </row>
    <row r="22" spans="1:18" x14ac:dyDescent="0.3">
      <c r="A22" s="5">
        <v>4</v>
      </c>
      <c r="B22" s="5">
        <v>4</v>
      </c>
      <c r="C22" s="5"/>
      <c r="D22" s="5" t="s">
        <v>22</v>
      </c>
      <c r="E22" s="6">
        <v>45917</v>
      </c>
      <c r="F22" s="5">
        <v>3</v>
      </c>
      <c r="G22" s="9">
        <v>0.59930555555555554</v>
      </c>
      <c r="H22" s="7">
        <v>0.70694444444444449</v>
      </c>
      <c r="I22" s="5"/>
      <c r="J22" s="5"/>
      <c r="K22" s="5"/>
      <c r="L22" s="5"/>
      <c r="M22" s="5"/>
      <c r="N22" s="5"/>
      <c r="O22" s="5"/>
      <c r="P22" s="5"/>
      <c r="Q22" s="12">
        <f t="shared" si="2"/>
        <v>0.10763888888888895</v>
      </c>
      <c r="R22" s="8">
        <f t="shared" si="0"/>
        <v>2.5</v>
      </c>
    </row>
    <row r="23" spans="1:18" x14ac:dyDescent="0.3">
      <c r="A23" s="5">
        <v>4</v>
      </c>
      <c r="B23" s="5">
        <v>4</v>
      </c>
      <c r="C23" s="5"/>
      <c r="D23" s="5" t="s">
        <v>22</v>
      </c>
      <c r="E23" s="6">
        <v>45924</v>
      </c>
      <c r="F23" s="5">
        <v>3</v>
      </c>
      <c r="G23" s="9">
        <v>0.58958333333333335</v>
      </c>
      <c r="H23" s="9">
        <v>0.70833333333333337</v>
      </c>
      <c r="I23" s="5"/>
      <c r="J23" s="5"/>
      <c r="K23" s="5"/>
      <c r="L23" s="5"/>
      <c r="M23" s="5"/>
      <c r="N23" s="5"/>
      <c r="O23" s="5"/>
      <c r="P23" s="5"/>
      <c r="Q23" s="12">
        <f t="shared" si="2"/>
        <v>0.11875000000000002</v>
      </c>
      <c r="R23" s="8">
        <f t="shared" si="0"/>
        <v>2.75</v>
      </c>
    </row>
    <row r="24" spans="1:18" x14ac:dyDescent="0.3">
      <c r="A24" s="5">
        <v>4</v>
      </c>
      <c r="B24" s="5">
        <v>4</v>
      </c>
      <c r="C24" s="5"/>
      <c r="D24" s="5" t="s">
        <v>22</v>
      </c>
      <c r="E24" s="6">
        <v>45926</v>
      </c>
      <c r="F24" s="5">
        <v>1</v>
      </c>
      <c r="G24" s="7">
        <v>0.32361111111111113</v>
      </c>
      <c r="H24" s="7">
        <v>0.52500000000000002</v>
      </c>
      <c r="I24" s="5"/>
      <c r="J24" s="5"/>
      <c r="K24" s="5"/>
      <c r="L24" s="5"/>
      <c r="M24" s="5"/>
      <c r="N24" s="5"/>
      <c r="O24" s="5"/>
      <c r="P24" s="5"/>
      <c r="Q24" s="12">
        <v>0.2013888888888889</v>
      </c>
      <c r="R24" s="8">
        <f t="shared" si="0"/>
        <v>4.75</v>
      </c>
    </row>
    <row r="25" spans="1:18" x14ac:dyDescent="0.3">
      <c r="A25" s="5">
        <v>5</v>
      </c>
      <c r="B25" s="5">
        <v>5</v>
      </c>
      <c r="C25" s="5"/>
      <c r="D25" s="5" t="s">
        <v>23</v>
      </c>
      <c r="E25" s="6">
        <v>45901</v>
      </c>
      <c r="F25" s="5">
        <v>1</v>
      </c>
      <c r="G25" s="7">
        <v>0.33333333333333331</v>
      </c>
      <c r="H25" s="7">
        <v>0.5</v>
      </c>
      <c r="I25" s="5"/>
      <c r="J25" s="5"/>
      <c r="K25" s="5"/>
      <c r="L25" s="5"/>
      <c r="M25" s="5"/>
      <c r="N25" s="5"/>
      <c r="O25" s="5"/>
      <c r="P25" s="5"/>
      <c r="Q25" s="12">
        <f t="shared" ref="Q25:Q26" si="3">H25-G25</f>
        <v>0.16666666666666669</v>
      </c>
      <c r="R25" s="8">
        <f t="shared" si="0"/>
        <v>4</v>
      </c>
    </row>
    <row r="26" spans="1:18" x14ac:dyDescent="0.3">
      <c r="A26" s="5">
        <v>5</v>
      </c>
      <c r="B26" s="5">
        <v>5</v>
      </c>
      <c r="C26" s="5"/>
      <c r="D26" s="5" t="s">
        <v>23</v>
      </c>
      <c r="E26" s="6">
        <v>45902</v>
      </c>
      <c r="F26" s="5">
        <v>2</v>
      </c>
      <c r="G26" s="7">
        <v>0.45833333333333331</v>
      </c>
      <c r="H26" s="7">
        <v>0.625</v>
      </c>
      <c r="I26" s="5"/>
      <c r="J26" s="5"/>
      <c r="K26" s="5"/>
      <c r="L26" s="5"/>
      <c r="M26" s="5"/>
      <c r="N26" s="5"/>
      <c r="O26" s="5"/>
      <c r="P26" s="5"/>
      <c r="Q26" s="12">
        <f t="shared" si="3"/>
        <v>0.16666666666666669</v>
      </c>
      <c r="R26" s="8">
        <f t="shared" si="0"/>
        <v>4</v>
      </c>
    </row>
    <row r="27" spans="1:18" x14ac:dyDescent="0.3">
      <c r="A27" s="5">
        <v>5</v>
      </c>
      <c r="B27" s="5">
        <v>5</v>
      </c>
      <c r="C27" s="5"/>
      <c r="D27" s="5" t="s">
        <v>23</v>
      </c>
      <c r="E27" s="6">
        <v>45908</v>
      </c>
      <c r="F27" s="5">
        <v>1</v>
      </c>
      <c r="G27" s="7">
        <v>0.33333333333333331</v>
      </c>
      <c r="H27" s="7">
        <v>0.46458333333333335</v>
      </c>
      <c r="I27" s="5"/>
      <c r="J27" s="5"/>
      <c r="K27" s="5"/>
      <c r="L27" s="5"/>
      <c r="M27" s="5"/>
      <c r="N27" s="5"/>
      <c r="O27" s="5"/>
      <c r="P27" s="5"/>
      <c r="Q27" s="12">
        <v>0.13125000000000001</v>
      </c>
      <c r="R27" s="8">
        <f t="shared" si="0"/>
        <v>3.25</v>
      </c>
    </row>
    <row r="28" spans="1:18" x14ac:dyDescent="0.3">
      <c r="A28" s="5">
        <v>5</v>
      </c>
      <c r="B28" s="5">
        <v>5</v>
      </c>
      <c r="C28" s="5"/>
      <c r="D28" s="5" t="s">
        <v>23</v>
      </c>
      <c r="E28" s="6">
        <v>45911</v>
      </c>
      <c r="F28" s="5">
        <v>3</v>
      </c>
      <c r="G28" s="7">
        <v>0.58888888888888891</v>
      </c>
      <c r="H28" s="7">
        <v>0.6958333333333333</v>
      </c>
      <c r="I28" s="5"/>
      <c r="J28" s="5"/>
      <c r="K28" s="5"/>
      <c r="L28" s="5"/>
      <c r="M28" s="5"/>
      <c r="N28" s="5"/>
      <c r="O28" s="5"/>
      <c r="P28" s="5"/>
      <c r="Q28" s="12">
        <v>0.10694444444444444</v>
      </c>
      <c r="R28" s="8">
        <f t="shared" si="0"/>
        <v>2.5</v>
      </c>
    </row>
    <row r="29" spans="1:18" x14ac:dyDescent="0.3">
      <c r="A29" s="5">
        <v>5</v>
      </c>
      <c r="B29" s="5">
        <v>5</v>
      </c>
      <c r="C29" s="5"/>
      <c r="D29" s="5" t="s">
        <v>23</v>
      </c>
      <c r="E29" s="6">
        <v>45915</v>
      </c>
      <c r="F29" s="5">
        <v>1</v>
      </c>
      <c r="G29" s="7">
        <v>0.33750000000000002</v>
      </c>
      <c r="H29" s="7">
        <v>0.46180555555555558</v>
      </c>
      <c r="I29" s="5"/>
      <c r="J29" s="5"/>
      <c r="K29" s="5"/>
      <c r="L29" s="5"/>
      <c r="M29" s="5"/>
      <c r="N29" s="5"/>
      <c r="O29" s="5"/>
      <c r="P29" s="5"/>
      <c r="Q29" s="12">
        <v>0.12430555555555556</v>
      </c>
      <c r="R29" s="8">
        <f t="shared" si="0"/>
        <v>3</v>
      </c>
    </row>
    <row r="30" spans="1:18" x14ac:dyDescent="0.3">
      <c r="A30" s="5">
        <v>5</v>
      </c>
      <c r="B30" s="5">
        <v>5</v>
      </c>
      <c r="C30" s="5"/>
      <c r="D30" s="5" t="s">
        <v>23</v>
      </c>
      <c r="E30" s="6">
        <v>45922</v>
      </c>
      <c r="F30" s="5">
        <v>1</v>
      </c>
      <c r="G30" s="7">
        <v>0.34236111111111112</v>
      </c>
      <c r="H30" s="7">
        <v>0.4597222222222222</v>
      </c>
      <c r="I30" s="5"/>
      <c r="J30" s="5"/>
      <c r="K30" s="5"/>
      <c r="L30" s="5"/>
      <c r="M30" s="5"/>
      <c r="N30" s="5"/>
      <c r="O30" s="5"/>
      <c r="P30" s="5"/>
      <c r="Q30" s="12">
        <v>0.11736111111111111</v>
      </c>
      <c r="R30" s="8">
        <f t="shared" si="0"/>
        <v>2.75</v>
      </c>
    </row>
    <row r="31" spans="1:18" x14ac:dyDescent="0.3">
      <c r="A31" s="5">
        <v>5</v>
      </c>
      <c r="B31" s="5">
        <v>5</v>
      </c>
      <c r="C31" s="5"/>
      <c r="D31" s="5" t="s">
        <v>23</v>
      </c>
      <c r="E31" s="6">
        <v>45925</v>
      </c>
      <c r="F31" s="5">
        <v>3</v>
      </c>
      <c r="G31" s="7">
        <v>0.60277777777777775</v>
      </c>
      <c r="H31" s="7">
        <v>0.69444444444444442</v>
      </c>
      <c r="I31" s="5"/>
      <c r="J31" s="5"/>
      <c r="K31" s="5"/>
      <c r="L31" s="5"/>
      <c r="M31" s="5"/>
      <c r="N31" s="5"/>
      <c r="O31" s="5"/>
      <c r="P31" s="5"/>
      <c r="Q31" s="12">
        <v>9.166666666666666E-2</v>
      </c>
      <c r="R31" s="8">
        <f t="shared" si="0"/>
        <v>2.25</v>
      </c>
    </row>
    <row r="32" spans="1:18" x14ac:dyDescent="0.3">
      <c r="A32" s="5">
        <v>5</v>
      </c>
      <c r="B32" s="5">
        <v>5</v>
      </c>
      <c r="C32" s="5"/>
      <c r="D32" s="5" t="s">
        <v>23</v>
      </c>
      <c r="E32" s="6">
        <v>45929</v>
      </c>
      <c r="F32" s="5">
        <v>1</v>
      </c>
      <c r="G32" s="7">
        <v>0.34791666666666665</v>
      </c>
      <c r="H32" s="7">
        <v>0.46041666666666664</v>
      </c>
      <c r="I32" s="5"/>
      <c r="J32" s="5"/>
      <c r="K32" s="5"/>
      <c r="L32" s="5"/>
      <c r="M32" s="5"/>
      <c r="N32" s="5"/>
      <c r="O32" s="5"/>
      <c r="P32" s="5"/>
      <c r="Q32" s="12">
        <v>0.1125</v>
      </c>
      <c r="R32" s="8">
        <f t="shared" si="0"/>
        <v>2.75</v>
      </c>
    </row>
    <row r="33" spans="1:18" x14ac:dyDescent="0.3">
      <c r="A33" s="5">
        <v>6</v>
      </c>
      <c r="B33" s="5">
        <v>6</v>
      </c>
      <c r="C33" s="5"/>
      <c r="D33" s="5" t="s">
        <v>20</v>
      </c>
      <c r="E33" s="6">
        <v>45915</v>
      </c>
      <c r="F33" s="5">
        <v>1</v>
      </c>
      <c r="G33" s="7">
        <v>0.33750000000000002</v>
      </c>
      <c r="H33" s="7">
        <v>0.48958333333333331</v>
      </c>
      <c r="I33" s="5"/>
      <c r="J33" s="5"/>
      <c r="K33" s="5"/>
      <c r="L33" s="5"/>
      <c r="M33" s="5"/>
      <c r="N33" s="5"/>
      <c r="O33" s="5"/>
      <c r="P33" s="5"/>
      <c r="Q33" s="12">
        <f>H33-G33</f>
        <v>0.15208333333333329</v>
      </c>
      <c r="R33" s="8">
        <f t="shared" si="0"/>
        <v>3.75</v>
      </c>
    </row>
    <row r="34" spans="1:18" x14ac:dyDescent="0.3">
      <c r="A34" s="5">
        <v>6</v>
      </c>
      <c r="B34" s="5">
        <v>6</v>
      </c>
      <c r="C34" s="5"/>
      <c r="D34" s="5" t="s">
        <v>20</v>
      </c>
      <c r="E34" s="6">
        <v>45922</v>
      </c>
      <c r="F34" s="5">
        <v>1</v>
      </c>
      <c r="G34" s="7">
        <v>0.34236111111111112</v>
      </c>
      <c r="H34" s="7">
        <v>0.50694444444444442</v>
      </c>
      <c r="I34" s="5"/>
      <c r="J34" s="5"/>
      <c r="K34" s="5"/>
      <c r="L34" s="5"/>
      <c r="M34" s="5"/>
      <c r="N34" s="5"/>
      <c r="O34" s="5"/>
      <c r="P34" s="5"/>
      <c r="Q34" s="12">
        <v>0.16458333333333333</v>
      </c>
      <c r="R34" s="8">
        <f t="shared" si="0"/>
        <v>4</v>
      </c>
    </row>
    <row r="35" spans="1:18" x14ac:dyDescent="0.3">
      <c r="A35" s="5">
        <v>8</v>
      </c>
      <c r="B35" s="5">
        <v>8</v>
      </c>
      <c r="C35" s="5"/>
      <c r="D35" s="5" t="s">
        <v>24</v>
      </c>
      <c r="E35" s="6">
        <v>45909</v>
      </c>
      <c r="F35" s="5">
        <v>2</v>
      </c>
      <c r="G35" s="7">
        <v>0.45555555555555555</v>
      </c>
      <c r="H35" s="7">
        <v>0.58472222222222225</v>
      </c>
      <c r="I35" s="5"/>
      <c r="J35" s="5"/>
      <c r="K35" s="5"/>
      <c r="L35" s="5"/>
      <c r="M35" s="5"/>
      <c r="N35" s="5"/>
      <c r="O35" s="5"/>
      <c r="P35" s="5"/>
      <c r="Q35" s="12">
        <f>H35-G35</f>
        <v>0.12916666666666671</v>
      </c>
      <c r="R35" s="8">
        <f t="shared" si="0"/>
        <v>3</v>
      </c>
    </row>
    <row r="36" spans="1:18" x14ac:dyDescent="0.3">
      <c r="A36" s="5">
        <v>8</v>
      </c>
      <c r="B36" s="5">
        <v>8</v>
      </c>
      <c r="C36" s="5"/>
      <c r="D36" s="5" t="s">
        <v>24</v>
      </c>
      <c r="E36" s="6">
        <v>45916</v>
      </c>
      <c r="F36" s="5">
        <v>2</v>
      </c>
      <c r="G36" s="7">
        <v>0.44236111111111109</v>
      </c>
      <c r="H36" s="7">
        <v>0.57638888888888884</v>
      </c>
      <c r="I36" s="10">
        <v>0.64930555555555558</v>
      </c>
      <c r="J36" s="10">
        <v>0.69722222222222219</v>
      </c>
      <c r="K36" s="5"/>
      <c r="L36" s="5"/>
      <c r="M36" s="5"/>
      <c r="N36" s="5"/>
      <c r="O36" s="5"/>
      <c r="P36" s="5"/>
      <c r="Q36" s="12">
        <v>0.18194444444444444</v>
      </c>
      <c r="R36" s="8">
        <f t="shared" si="0"/>
        <v>4.25</v>
      </c>
    </row>
    <row r="37" spans="1:18" x14ac:dyDescent="0.3">
      <c r="A37" s="5">
        <v>8</v>
      </c>
      <c r="B37" s="5">
        <v>8</v>
      </c>
      <c r="C37" s="5"/>
      <c r="D37" s="5" t="s">
        <v>24</v>
      </c>
      <c r="E37" s="6">
        <v>45923</v>
      </c>
      <c r="F37" s="5">
        <v>2</v>
      </c>
      <c r="G37" s="7">
        <v>0.42291666666666666</v>
      </c>
      <c r="H37" s="7">
        <v>0.57916666666666672</v>
      </c>
      <c r="I37" s="5"/>
      <c r="J37" s="5"/>
      <c r="K37" s="5"/>
      <c r="L37" s="5"/>
      <c r="M37" s="5"/>
      <c r="N37" s="5"/>
      <c r="O37" s="5"/>
      <c r="P37" s="5"/>
      <c r="Q37" s="12">
        <v>0.15625</v>
      </c>
      <c r="R37" s="8">
        <f t="shared" si="0"/>
        <v>3.75</v>
      </c>
    </row>
    <row r="38" spans="1:18" x14ac:dyDescent="0.3">
      <c r="A38" s="5">
        <v>9</v>
      </c>
      <c r="B38" s="5">
        <v>9</v>
      </c>
      <c r="C38" s="5"/>
      <c r="D38" s="5" t="s">
        <v>25</v>
      </c>
      <c r="E38" s="6">
        <v>45910</v>
      </c>
      <c r="F38" s="5">
        <v>3</v>
      </c>
      <c r="G38" s="7">
        <v>0.59375</v>
      </c>
      <c r="H38" s="7">
        <v>0.70833333333333337</v>
      </c>
      <c r="I38" s="5"/>
      <c r="J38" s="5"/>
      <c r="K38" s="5"/>
      <c r="L38" s="5"/>
      <c r="M38" s="5"/>
      <c r="N38" s="5"/>
      <c r="O38" s="5"/>
      <c r="P38" s="5"/>
      <c r="Q38" s="12">
        <f t="shared" ref="Q38:Q40" si="4">H38-G38</f>
        <v>0.11458333333333337</v>
      </c>
      <c r="R38" s="8">
        <f t="shared" si="0"/>
        <v>2.75</v>
      </c>
    </row>
    <row r="39" spans="1:18" x14ac:dyDescent="0.3">
      <c r="A39" s="5">
        <v>9</v>
      </c>
      <c r="B39" s="5">
        <v>9</v>
      </c>
      <c r="C39" s="5"/>
      <c r="D39" s="5" t="s">
        <v>25</v>
      </c>
      <c r="E39" s="6">
        <v>45917</v>
      </c>
      <c r="F39" s="5">
        <v>3</v>
      </c>
      <c r="G39" s="7">
        <v>0.6</v>
      </c>
      <c r="H39" s="7">
        <v>0.70694444444444449</v>
      </c>
      <c r="I39" s="5"/>
      <c r="J39" s="5"/>
      <c r="K39" s="5"/>
      <c r="L39" s="5"/>
      <c r="M39" s="5"/>
      <c r="N39" s="5"/>
      <c r="O39" s="5"/>
      <c r="P39" s="5"/>
      <c r="Q39" s="12">
        <f t="shared" si="4"/>
        <v>0.10694444444444451</v>
      </c>
      <c r="R39" s="8">
        <f t="shared" si="0"/>
        <v>2.5</v>
      </c>
    </row>
    <row r="40" spans="1:18" x14ac:dyDescent="0.3">
      <c r="A40" s="5">
        <v>9</v>
      </c>
      <c r="B40" s="5">
        <v>9</v>
      </c>
      <c r="C40" s="5"/>
      <c r="D40" s="5" t="s">
        <v>25</v>
      </c>
      <c r="E40" s="6">
        <v>45924</v>
      </c>
      <c r="F40" s="5">
        <v>3</v>
      </c>
      <c r="G40" s="7">
        <v>0.58958333333333335</v>
      </c>
      <c r="H40" s="7">
        <v>0.70833333333333337</v>
      </c>
      <c r="I40" s="5"/>
      <c r="J40" s="5"/>
      <c r="K40" s="5"/>
      <c r="L40" s="5"/>
      <c r="M40" s="5"/>
      <c r="N40" s="5"/>
      <c r="O40" s="5"/>
      <c r="P40" s="5"/>
      <c r="Q40" s="12">
        <f t="shared" si="4"/>
        <v>0.11875000000000002</v>
      </c>
      <c r="R40" s="8">
        <f t="shared" si="0"/>
        <v>2.75</v>
      </c>
    </row>
    <row r="41" spans="1:18" x14ac:dyDescent="0.3">
      <c r="A41" s="5">
        <v>9</v>
      </c>
      <c r="B41" s="5">
        <v>9</v>
      </c>
      <c r="C41" s="5"/>
      <c r="D41" s="5" t="s">
        <v>25</v>
      </c>
      <c r="E41" s="6">
        <v>45930</v>
      </c>
      <c r="F41" s="5">
        <v>2</v>
      </c>
      <c r="G41" s="7">
        <v>0.46319444444444446</v>
      </c>
      <c r="H41" s="7">
        <v>0.58888888888888891</v>
      </c>
      <c r="I41" s="5"/>
      <c r="J41" s="5"/>
      <c r="K41" s="5"/>
      <c r="L41" s="5"/>
      <c r="M41" s="5"/>
      <c r="N41" s="5"/>
      <c r="O41" s="5"/>
      <c r="P41" s="5"/>
      <c r="Q41" s="12">
        <v>0.12569444444444444</v>
      </c>
      <c r="R41" s="8">
        <f t="shared" si="0"/>
        <v>3</v>
      </c>
    </row>
    <row r="42" spans="1:18" x14ac:dyDescent="0.3">
      <c r="A42" s="5">
        <v>12</v>
      </c>
      <c r="B42" s="5">
        <v>12</v>
      </c>
      <c r="C42" s="5"/>
      <c r="D42" s="5" t="s">
        <v>26</v>
      </c>
      <c r="E42" s="6">
        <v>45929</v>
      </c>
      <c r="F42" s="5">
        <v>1</v>
      </c>
      <c r="G42" s="7">
        <v>0.34166666666666667</v>
      </c>
      <c r="H42" s="7">
        <v>0.4909722222222222</v>
      </c>
      <c r="I42" s="5"/>
      <c r="J42" s="5"/>
      <c r="K42" s="5"/>
      <c r="L42" s="5"/>
      <c r="M42" s="5"/>
      <c r="N42" s="5"/>
      <c r="O42" s="5"/>
      <c r="P42" s="5"/>
      <c r="Q42" s="12">
        <v>0.14930555555555555</v>
      </c>
      <c r="R42" s="8">
        <f t="shared" si="0"/>
        <v>3.5</v>
      </c>
    </row>
    <row r="43" spans="1:18" x14ac:dyDescent="0.3">
      <c r="A43" s="5">
        <v>10</v>
      </c>
      <c r="B43" s="5">
        <v>10</v>
      </c>
      <c r="C43" s="5"/>
      <c r="D43" s="5" t="s">
        <v>27</v>
      </c>
      <c r="E43" s="6">
        <v>45911</v>
      </c>
      <c r="F43" s="5">
        <v>1</v>
      </c>
      <c r="G43" s="7">
        <v>0.34513888888888888</v>
      </c>
      <c r="H43" s="7">
        <v>0.45347222222222222</v>
      </c>
      <c r="I43" s="5"/>
      <c r="J43" s="5"/>
      <c r="K43" s="5"/>
      <c r="L43" s="5"/>
      <c r="M43" s="5"/>
      <c r="N43" s="5"/>
      <c r="O43" s="5"/>
      <c r="P43" s="5"/>
      <c r="Q43" s="12">
        <v>0.10833333333333334</v>
      </c>
      <c r="R43" s="8">
        <f t="shared" si="0"/>
        <v>2.5</v>
      </c>
    </row>
    <row r="44" spans="1:18" x14ac:dyDescent="0.3">
      <c r="A44" s="5">
        <v>10</v>
      </c>
      <c r="B44" s="5">
        <v>10</v>
      </c>
      <c r="C44" s="5"/>
      <c r="D44" s="5" t="s">
        <v>27</v>
      </c>
      <c r="E44" s="6">
        <v>45918</v>
      </c>
      <c r="F44" s="5">
        <v>1</v>
      </c>
      <c r="G44" s="7">
        <v>0.3263888888888889</v>
      </c>
      <c r="H44" s="7">
        <v>0.45416666666666666</v>
      </c>
      <c r="I44" s="5"/>
      <c r="J44" s="5"/>
      <c r="K44" s="5"/>
      <c r="L44" s="5"/>
      <c r="M44" s="5"/>
      <c r="N44" s="5"/>
      <c r="O44" s="5"/>
      <c r="P44" s="5"/>
      <c r="Q44" s="12">
        <v>0.12777777777777777</v>
      </c>
      <c r="R44" s="8">
        <f t="shared" si="0"/>
        <v>3</v>
      </c>
    </row>
    <row r="45" spans="1:18" x14ac:dyDescent="0.3">
      <c r="A45" s="5">
        <v>10</v>
      </c>
      <c r="B45" s="5">
        <v>10</v>
      </c>
      <c r="C45" s="5"/>
      <c r="D45" s="5" t="s">
        <v>27</v>
      </c>
      <c r="E45" s="6">
        <v>45925</v>
      </c>
      <c r="F45" s="5">
        <v>1</v>
      </c>
      <c r="G45" s="7">
        <v>0.32291666666666669</v>
      </c>
      <c r="H45" s="7">
        <v>0.43263888888888891</v>
      </c>
      <c r="I45" s="5"/>
      <c r="J45" s="5"/>
      <c r="K45" s="5"/>
      <c r="L45" s="5"/>
      <c r="M45" s="5"/>
      <c r="N45" s="5"/>
      <c r="O45" s="5"/>
      <c r="P45" s="5"/>
      <c r="Q45" s="12">
        <v>0.10972222222222222</v>
      </c>
      <c r="R45" s="8">
        <f t="shared" si="0"/>
        <v>2.75</v>
      </c>
    </row>
    <row r="46" spans="1:18" x14ac:dyDescent="0.3">
      <c r="A46" s="5">
        <v>13</v>
      </c>
      <c r="B46" s="5">
        <v>13</v>
      </c>
      <c r="C46" s="5"/>
      <c r="D46" s="5" t="s">
        <v>28</v>
      </c>
      <c r="E46" s="6">
        <v>45930</v>
      </c>
      <c r="F46" s="5">
        <v>3</v>
      </c>
      <c r="G46" s="7">
        <v>0.64930555555555558</v>
      </c>
      <c r="H46" s="7">
        <v>0.68194444444444446</v>
      </c>
      <c r="I46" s="5"/>
      <c r="J46" s="5"/>
      <c r="K46" s="5"/>
      <c r="L46" s="5"/>
      <c r="M46" s="5"/>
      <c r="N46" s="5"/>
      <c r="O46" s="5"/>
      <c r="P46" s="5"/>
      <c r="Q46" s="12">
        <f>H46-G46</f>
        <v>3.2638888888888884E-2</v>
      </c>
      <c r="R46" s="8">
        <f t="shared" si="0"/>
        <v>0.75</v>
      </c>
    </row>
    <row r="47" spans="1:18" x14ac:dyDescent="0.3">
      <c r="A47" s="5">
        <v>11</v>
      </c>
      <c r="B47" s="5">
        <v>11</v>
      </c>
      <c r="C47" s="5"/>
      <c r="D47" s="5" t="s">
        <v>29</v>
      </c>
      <c r="E47" s="6">
        <v>45911</v>
      </c>
      <c r="F47" s="5">
        <v>1</v>
      </c>
      <c r="G47" s="7">
        <v>0.34513888888888888</v>
      </c>
      <c r="H47" s="7">
        <v>0.61111111111111116</v>
      </c>
      <c r="I47" s="5"/>
      <c r="J47" s="5"/>
      <c r="K47" s="5"/>
      <c r="L47" s="5"/>
      <c r="M47" s="5"/>
      <c r="N47" s="5"/>
      <c r="O47" s="5"/>
      <c r="P47" s="5"/>
      <c r="Q47" s="12">
        <v>0.26597222222222222</v>
      </c>
      <c r="R47" s="8">
        <f t="shared" si="0"/>
        <v>6.5</v>
      </c>
    </row>
    <row r="48" spans="1:18" x14ac:dyDescent="0.3">
      <c r="A48" s="5">
        <v>11</v>
      </c>
      <c r="B48" s="5">
        <v>11</v>
      </c>
      <c r="C48" s="5"/>
      <c r="D48" s="5" t="s">
        <v>29</v>
      </c>
      <c r="E48" s="6">
        <v>45918</v>
      </c>
      <c r="F48" s="5">
        <v>1</v>
      </c>
      <c r="G48" s="7">
        <v>0.32569444444444445</v>
      </c>
      <c r="H48" s="7">
        <v>0.58333333333333337</v>
      </c>
      <c r="I48" s="5"/>
      <c r="J48" s="5"/>
      <c r="K48" s="5"/>
      <c r="L48" s="5"/>
      <c r="M48" s="5"/>
      <c r="N48" s="5"/>
      <c r="O48" s="5"/>
      <c r="P48" s="5"/>
      <c r="Q48" s="12">
        <f>H48-G48</f>
        <v>0.25763888888888892</v>
      </c>
      <c r="R48" s="8">
        <f t="shared" si="0"/>
        <v>6.25</v>
      </c>
    </row>
    <row r="49" spans="1:18" x14ac:dyDescent="0.3">
      <c r="A49" s="5">
        <v>11</v>
      </c>
      <c r="B49" s="5">
        <v>11</v>
      </c>
      <c r="C49" s="5"/>
      <c r="D49" s="5" t="s">
        <v>29</v>
      </c>
      <c r="E49" s="6">
        <v>45919</v>
      </c>
      <c r="F49" s="5">
        <v>1</v>
      </c>
      <c r="G49" s="7">
        <v>0.41736111111111113</v>
      </c>
      <c r="H49" s="7">
        <v>0.53402777777777777</v>
      </c>
      <c r="I49" s="5"/>
      <c r="J49" s="5"/>
      <c r="K49" s="5"/>
      <c r="L49" s="5"/>
      <c r="M49" s="5"/>
      <c r="N49" s="5"/>
      <c r="O49" s="5"/>
      <c r="P49" s="5"/>
      <c r="Q49" s="12">
        <v>0.11666666666666667</v>
      </c>
      <c r="R49" s="8">
        <f t="shared" si="0"/>
        <v>2.75</v>
      </c>
    </row>
    <row r="50" spans="1:18" x14ac:dyDescent="0.3">
      <c r="A50" s="5">
        <v>11</v>
      </c>
      <c r="B50" s="5">
        <v>11</v>
      </c>
      <c r="C50" s="5"/>
      <c r="D50" s="5" t="s">
        <v>29</v>
      </c>
      <c r="E50" s="6">
        <v>45925</v>
      </c>
      <c r="F50" s="5">
        <v>1</v>
      </c>
      <c r="G50" s="7">
        <v>0.32291666666666669</v>
      </c>
      <c r="H50" s="7">
        <v>0.61458333333333337</v>
      </c>
      <c r="I50" s="5"/>
      <c r="J50" s="5"/>
      <c r="K50" s="5"/>
      <c r="L50" s="5"/>
      <c r="M50" s="5"/>
      <c r="N50" s="5"/>
      <c r="O50" s="5"/>
      <c r="P50" s="5"/>
      <c r="Q50" s="12">
        <v>0.29166666666666669</v>
      </c>
      <c r="R50" s="8">
        <f t="shared" si="0"/>
        <v>7</v>
      </c>
    </row>
  </sheetData>
  <dataValidations count="3">
    <dataValidation allowBlank="1" showDropDown="1" sqref="R2:R50" xr:uid="{ABA46616-C5D7-47A0-856F-A53B4494E0CF}"/>
    <dataValidation type="custom" allowBlank="1" showDropDown="1" sqref="E2:E50" xr:uid="{3C32F17E-8676-4C2C-975D-ECD8282C7B92}">
      <formula1>OR(NOT(ISERROR(DATEVALUE(E2))), AND(ISNUMBER(E2), LEFT(CELL("format", E2))="D"))</formula1>
    </dataValidation>
    <dataValidation type="custom" allowBlank="1" showDropDown="1" sqref="G2:H50 Q2:Q50" xr:uid="{72499D6B-76C6-469E-AE6D-5F47A97EDC76}">
      <formula1>OR(TIMEVALUE(TEXT(G2, "hh:mm:ss"))=G2, AND(ISNUMBER(G2), LEFT(CELL("format", G2))="D"))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MS</dc:creator>
  <cp:lastModifiedBy>Ratih MS</cp:lastModifiedBy>
  <dcterms:created xsi:type="dcterms:W3CDTF">2025-10-27T04:01:27Z</dcterms:created>
  <dcterms:modified xsi:type="dcterms:W3CDTF">2025-10-27T04:41:13Z</dcterms:modified>
</cp:coreProperties>
</file>